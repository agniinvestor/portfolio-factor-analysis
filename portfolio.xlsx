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ad\Downloads\"/>
    </mc:Choice>
  </mc:AlternateContent>
  <xr:revisionPtr revIDLastSave="0" documentId="8_{ABAF7FE3-B4DD-46E7-843B-A9386C616532}" xr6:coauthVersionLast="47" xr6:coauthVersionMax="47" xr10:uidLastSave="{00000000-0000-0000-0000-000000000000}"/>
  <bookViews>
    <workbookView xWindow="38280" yWindow="-120" windowWidth="29040" windowHeight="15720" xr2:uid="{8A45DECA-B339-469F-B288-27E6F0273390}"/>
  </bookViews>
  <sheets>
    <sheet name="Long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2">#REF!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<sst xmlns="http://schemas.openxmlformats.org/spreadsheetml/2006/main" count="103" uniqueCount="87">
  <si>
    <t>Name</t>
  </si>
  <si>
    <t>ISIN</t>
  </si>
  <si>
    <t>Sector</t>
  </si>
  <si>
    <t>Weights</t>
  </si>
  <si>
    <t>HDFC Bank Limited</t>
  </si>
  <si>
    <t>INE040A01034</t>
  </si>
  <si>
    <t>Banks</t>
  </si>
  <si>
    <t>Power Grid Corporation of India Limited</t>
  </si>
  <si>
    <t>INE752E01010</t>
  </si>
  <si>
    <t>Power</t>
  </si>
  <si>
    <t>Coal India Limited</t>
  </si>
  <si>
    <t>INE522F01014</t>
  </si>
  <si>
    <t>Consumable Fuels</t>
  </si>
  <si>
    <t>ICICI Bank Limited</t>
  </si>
  <si>
    <t>INE090A01021</t>
  </si>
  <si>
    <t>ITC Limited</t>
  </si>
  <si>
    <t>INE154A01025</t>
  </si>
  <si>
    <t>Diversified FMCG</t>
  </si>
  <si>
    <t>Bajaj Holdings &amp; Investment Limited</t>
  </si>
  <si>
    <t>INE118A01012</t>
  </si>
  <si>
    <t>Finance</t>
  </si>
  <si>
    <t>Kotak Mahindra Bank Limited</t>
  </si>
  <si>
    <t>INE237A01036</t>
  </si>
  <si>
    <t>Mahindra &amp; Mahindra Limited</t>
  </si>
  <si>
    <t>INE101A01026</t>
  </si>
  <si>
    <t>Automobiles</t>
  </si>
  <si>
    <t>HCL Technologies Limited</t>
  </si>
  <si>
    <t>INE860A01027</t>
  </si>
  <si>
    <t>IT - Software</t>
  </si>
  <si>
    <t>Axis Bank Limited</t>
  </si>
  <si>
    <t>INE238A01034</t>
  </si>
  <si>
    <t>Bharti Airtel Limited</t>
  </si>
  <si>
    <t>INE397D01024</t>
  </si>
  <si>
    <t>Telecom - Services</t>
  </si>
  <si>
    <t>Maruti Suzuki India Limited</t>
  </si>
  <si>
    <t>INE585B01010</t>
  </si>
  <si>
    <t>Infosys Limited</t>
  </si>
  <si>
    <t>INE009A01021</t>
  </si>
  <si>
    <t>Tata Consultancy Services Limited</t>
  </si>
  <si>
    <t>INE467B01029</t>
  </si>
  <si>
    <t>Dr. Reddy's Laboratories Limited</t>
  </si>
  <si>
    <t>INE089A01031</t>
  </si>
  <si>
    <t>Pharmaceuticals &amp; Biotechnology</t>
  </si>
  <si>
    <t>Zydus Lifesciences Limited</t>
  </si>
  <si>
    <t>INE010B01027</t>
  </si>
  <si>
    <t>Cipla Limited</t>
  </si>
  <si>
    <t>INE059A01026</t>
  </si>
  <si>
    <t>Zydus Wellness Limited</t>
  </si>
  <si>
    <t>INE768C01028</t>
  </si>
  <si>
    <t>Food Products</t>
  </si>
  <si>
    <t>Indian Energy Exchange Limited</t>
  </si>
  <si>
    <t>INE022Q01020</t>
  </si>
  <si>
    <t>Capital Markets</t>
  </si>
  <si>
    <t>EID Parry India Limited</t>
  </si>
  <si>
    <t>INE126A01031</t>
  </si>
  <si>
    <t>Balkrishna Industries Limited</t>
  </si>
  <si>
    <t>INE787D01026</t>
  </si>
  <si>
    <t>Auto Components</t>
  </si>
  <si>
    <t>Narayana Hrudayalaya Limited</t>
  </si>
  <si>
    <t>INE410P01011</t>
  </si>
  <si>
    <t>Healthcare Services</t>
  </si>
  <si>
    <t>The Great Eastern Shipping Company Limited</t>
  </si>
  <si>
    <t>INE017A01032</t>
  </si>
  <si>
    <t>Transport Services</t>
  </si>
  <si>
    <t>Central Depository Services (India) Limited</t>
  </si>
  <si>
    <t>INE736A01011</t>
  </si>
  <si>
    <t>CMS Info System Limited</t>
  </si>
  <si>
    <t>INE925R01014</t>
  </si>
  <si>
    <t>Commercial Services &amp; Supplies</t>
  </si>
  <si>
    <t>ICRA Limited</t>
  </si>
  <si>
    <t>INE725G01011</t>
  </si>
  <si>
    <t>Maharashtra Scooters Limited</t>
  </si>
  <si>
    <t>INE288A01013</t>
  </si>
  <si>
    <t>Indus Towers Limited</t>
  </si>
  <si>
    <t>INE121J01017</t>
  </si>
  <si>
    <t>CIE Automotive India Limited</t>
  </si>
  <si>
    <t>INE536H01010</t>
  </si>
  <si>
    <t>Swaraj Engines Limited</t>
  </si>
  <si>
    <t>INE277A01016</t>
  </si>
  <si>
    <t>Industrial Products</t>
  </si>
  <si>
    <t>Nesco Limited</t>
  </si>
  <si>
    <t>INE317F01035</t>
  </si>
  <si>
    <t>Indraprastha Gas Limited</t>
  </si>
  <si>
    <t>INE203G01027</t>
  </si>
  <si>
    <t>Gas</t>
  </si>
  <si>
    <t>Mahanagar Gas Limited</t>
  </si>
  <si>
    <t>INE002S01010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</si>
</sst>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PFAS_Monthly_Portfolio_Report_March_31_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FCF"/>
      <sheetName val="Sheet1"/>
      <sheetName val="PPLF"/>
      <sheetName val="PPTSF"/>
      <sheetName val="PPCHF"/>
      <sheetName val="PPAF"/>
      <sheetName val="PPDAAF"/>
      <sheetName val="PPL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91F6-D1A2-46D0-AA66-04BF858063AD}">
  <dimension ref="A1:E34"/>
  <sheetViews>
    <sheetView tabSelected="1" workbookViewId="0">
      <selection activeCell="A30" sqref="A30"/>
    </sheetView>
  </sheetViews>
  <sheetFormatPr defaultRowHeight="15" x14ac:dyDescent="0.25"/>
  <cols>
    <col min="1" max="1" width="44.5703125" bestFit="1" customWidth="1"/>
    <col min="2" max="2" width="15.28515625" bestFit="1" customWidth="1"/>
    <col min="3" max="3" width="32.85546875" bestFit="1" customWidth="1"/>
    <col min="5" max="5" width="1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 t="s">
        <v>6</v>
      </c>
      <c r="D2" s="1">
        <f>E2/SUM($E$2:$E$34)</f>
        <v>0.11918219836223391</v>
      </c>
      <c r="E2" s="2">
        <v>1025978.41</v>
      </c>
    </row>
    <row r="3" spans="1:5" x14ac:dyDescent="0.25">
      <c r="A3" t="s">
        <v>7</v>
      </c>
      <c r="B3" t="s">
        <v>8</v>
      </c>
      <c r="C3" t="s">
        <v>9</v>
      </c>
      <c r="D3" s="1">
        <f>E3/SUM($E$2:$E$34)</f>
        <v>0.10733838544525472</v>
      </c>
      <c r="E3" s="2">
        <v>924021.1</v>
      </c>
    </row>
    <row r="4" spans="1:5" x14ac:dyDescent="0.25">
      <c r="A4" t="s">
        <v>10</v>
      </c>
      <c r="B4" t="s">
        <v>11</v>
      </c>
      <c r="C4" t="s">
        <v>12</v>
      </c>
      <c r="D4" s="1">
        <f>E4/SUM($E$2:$E$34)</f>
        <v>9.1475429577924997E-2</v>
      </c>
      <c r="E4" s="2">
        <v>787465.05</v>
      </c>
    </row>
    <row r="5" spans="1:5" x14ac:dyDescent="0.25">
      <c r="A5" t="s">
        <v>13</v>
      </c>
      <c r="B5" t="s">
        <v>14</v>
      </c>
      <c r="C5" t="s">
        <v>6</v>
      </c>
      <c r="D5" s="1">
        <f>E5/SUM($E$2:$E$34)</f>
        <v>7.5429180177983973E-2</v>
      </c>
      <c r="E5" s="2">
        <v>649331.12</v>
      </c>
    </row>
    <row r="6" spans="1:5" x14ac:dyDescent="0.25">
      <c r="A6" t="s">
        <v>15</v>
      </c>
      <c r="B6" t="s">
        <v>16</v>
      </c>
      <c r="C6" t="s">
        <v>17</v>
      </c>
      <c r="D6" s="1">
        <f>E6/SUM($E$2:$E$34)</f>
        <v>7.4893336890009404E-2</v>
      </c>
      <c r="E6" s="2">
        <v>644718.31999999995</v>
      </c>
    </row>
    <row r="7" spans="1:5" x14ac:dyDescent="0.25">
      <c r="A7" t="s">
        <v>18</v>
      </c>
      <c r="B7" t="s">
        <v>19</v>
      </c>
      <c r="C7" t="s">
        <v>20</v>
      </c>
      <c r="D7" s="1">
        <f>E7/SUM($E$2:$E$34)</f>
        <v>6.123101278433242E-2</v>
      </c>
      <c r="E7" s="2">
        <v>527106.38</v>
      </c>
    </row>
    <row r="8" spans="1:5" x14ac:dyDescent="0.25">
      <c r="A8" t="s">
        <v>21</v>
      </c>
      <c r="B8" t="s">
        <v>22</v>
      </c>
      <c r="C8" t="s">
        <v>6</v>
      </c>
      <c r="D8" s="1">
        <f>E8/SUM($E$2:$E$34)</f>
        <v>6.0186247315300596E-2</v>
      </c>
      <c r="E8" s="2">
        <v>518112.53</v>
      </c>
    </row>
    <row r="9" spans="1:5" x14ac:dyDescent="0.25">
      <c r="A9" t="s">
        <v>23</v>
      </c>
      <c r="B9" t="s">
        <v>24</v>
      </c>
      <c r="C9" t="s">
        <v>25</v>
      </c>
      <c r="D9" s="1">
        <f>E9/SUM($E$2:$E$34)</f>
        <v>5.0268334957033277E-2</v>
      </c>
      <c r="E9" s="2">
        <v>432734.31</v>
      </c>
    </row>
    <row r="10" spans="1:5" x14ac:dyDescent="0.25">
      <c r="A10" t="s">
        <v>26</v>
      </c>
      <c r="B10" t="s">
        <v>27</v>
      </c>
      <c r="C10" t="s">
        <v>28</v>
      </c>
      <c r="D10" s="1">
        <f>E10/SUM($E$2:$E$34)</f>
        <v>4.6549571154375573E-2</v>
      </c>
      <c r="E10" s="2">
        <v>400721.38</v>
      </c>
    </row>
    <row r="11" spans="1:5" x14ac:dyDescent="0.25">
      <c r="A11" t="s">
        <v>29</v>
      </c>
      <c r="B11" t="s">
        <v>30</v>
      </c>
      <c r="C11" t="s">
        <v>6</v>
      </c>
      <c r="D11" s="1">
        <f>E11/SUM($E$2:$E$34)</f>
        <v>4.4847919060118598E-2</v>
      </c>
      <c r="E11" s="2">
        <v>386072.73</v>
      </c>
    </row>
    <row r="12" spans="1:5" x14ac:dyDescent="0.25">
      <c r="A12" t="s">
        <v>31</v>
      </c>
      <c r="B12" t="s">
        <v>32</v>
      </c>
      <c r="C12" t="s">
        <v>33</v>
      </c>
      <c r="D12" s="1">
        <f>E12/SUM($E$2:$E$34)</f>
        <v>4.3826657140439859E-2</v>
      </c>
      <c r="E12" s="2">
        <v>377281.21</v>
      </c>
    </row>
    <row r="13" spans="1:5" x14ac:dyDescent="0.25">
      <c r="A13" t="s">
        <v>34</v>
      </c>
      <c r="B13" t="s">
        <v>35</v>
      </c>
      <c r="C13" t="s">
        <v>25</v>
      </c>
      <c r="D13" s="1">
        <f>E13/SUM($E$2:$E$34)</f>
        <v>4.3456606051880627E-2</v>
      </c>
      <c r="E13" s="2">
        <v>374095.63</v>
      </c>
    </row>
    <row r="14" spans="1:5" x14ac:dyDescent="0.25">
      <c r="A14" t="s">
        <v>36</v>
      </c>
      <c r="B14" t="s">
        <v>37</v>
      </c>
      <c r="C14" t="s">
        <v>28</v>
      </c>
      <c r="D14" s="1">
        <f>E14/SUM($E$2:$E$34)</f>
        <v>3.9143008339825529E-2</v>
      </c>
      <c r="E14" s="2">
        <v>336962.08</v>
      </c>
    </row>
    <row r="15" spans="1:5" x14ac:dyDescent="0.25">
      <c r="A15" t="s">
        <v>38</v>
      </c>
      <c r="B15" t="s">
        <v>39</v>
      </c>
      <c r="C15" t="s">
        <v>28</v>
      </c>
      <c r="D15" s="1">
        <f>E15/SUM($E$2:$E$34)</f>
        <v>3.4011901120315789E-2</v>
      </c>
      <c r="E15" s="2">
        <v>292791.01</v>
      </c>
    </row>
    <row r="16" spans="1:5" x14ac:dyDescent="0.25">
      <c r="A16" t="s">
        <v>40</v>
      </c>
      <c r="B16" t="s">
        <v>41</v>
      </c>
      <c r="C16" t="s">
        <v>42</v>
      </c>
      <c r="D16" s="1">
        <f>E16/SUM($E$2:$E$34)</f>
        <v>2.0073042939726605E-2</v>
      </c>
      <c r="E16" s="2">
        <v>172798.53</v>
      </c>
    </row>
    <row r="17" spans="1:5" x14ac:dyDescent="0.25">
      <c r="A17" t="s">
        <v>43</v>
      </c>
      <c r="B17" t="s">
        <v>44</v>
      </c>
      <c r="C17" t="s">
        <v>42</v>
      </c>
      <c r="D17" s="1">
        <f>E17/SUM($E$2:$E$34)</f>
        <v>1.9080392319438279E-2</v>
      </c>
      <c r="E17" s="2">
        <v>164253.31</v>
      </c>
    </row>
    <row r="18" spans="1:5" x14ac:dyDescent="0.25">
      <c r="A18" t="s">
        <v>45</v>
      </c>
      <c r="B18" t="s">
        <v>46</v>
      </c>
      <c r="C18" t="s">
        <v>42</v>
      </c>
      <c r="D18" s="1">
        <f>E18/SUM($E$2:$E$34)</f>
        <v>1.8872911028974492E-2</v>
      </c>
      <c r="E18" s="2">
        <v>162467.21</v>
      </c>
    </row>
    <row r="19" spans="1:5" x14ac:dyDescent="0.25">
      <c r="A19" t="s">
        <v>47</v>
      </c>
      <c r="B19" t="s">
        <v>48</v>
      </c>
      <c r="C19" t="s">
        <v>49</v>
      </c>
      <c r="D19" s="1">
        <f>E19/SUM($E$2:$E$34)</f>
        <v>1.0973708801680439E-2</v>
      </c>
      <c r="E19" s="2">
        <v>94467.03</v>
      </c>
    </row>
    <row r="20" spans="1:5" x14ac:dyDescent="0.25">
      <c r="A20" t="s">
        <v>50</v>
      </c>
      <c r="B20" t="s">
        <v>51</v>
      </c>
      <c r="C20" t="s">
        <v>52</v>
      </c>
      <c r="D20" s="1">
        <f>E20/SUM($E$2:$E$34)</f>
        <v>1.0764625603711194E-2</v>
      </c>
      <c r="E20" s="2">
        <v>92667.14</v>
      </c>
    </row>
    <row r="21" spans="1:5" x14ac:dyDescent="0.25">
      <c r="A21" t="s">
        <v>53</v>
      </c>
      <c r="B21" t="s">
        <v>54</v>
      </c>
      <c r="C21" t="s">
        <v>49</v>
      </c>
      <c r="D21" s="1">
        <f>E21/SUM($E$2:$E$34)</f>
        <v>6.6613482408170053E-3</v>
      </c>
      <c r="E21" s="2">
        <v>57344.13</v>
      </c>
    </row>
    <row r="22" spans="1:5" x14ac:dyDescent="0.25">
      <c r="A22" t="s">
        <v>55</v>
      </c>
      <c r="B22" t="s">
        <v>56</v>
      </c>
      <c r="C22" t="s">
        <v>57</v>
      </c>
      <c r="D22" s="1">
        <f>E22/SUM($E$2:$E$34)</f>
        <v>5.5025882922163285E-3</v>
      </c>
      <c r="E22" s="2">
        <v>47368.959999999999</v>
      </c>
    </row>
    <row r="23" spans="1:5" x14ac:dyDescent="0.25">
      <c r="A23" t="s">
        <v>58</v>
      </c>
      <c r="B23" t="s">
        <v>59</v>
      </c>
      <c r="C23" t="s">
        <v>60</v>
      </c>
      <c r="D23" s="1">
        <f>E23/SUM($E$2:$E$34)</f>
        <v>3.7219560012255065E-3</v>
      </c>
      <c r="E23" s="2">
        <v>32040.41</v>
      </c>
    </row>
    <row r="24" spans="1:5" x14ac:dyDescent="0.25">
      <c r="A24" t="s">
        <v>61</v>
      </c>
      <c r="B24" t="s">
        <v>62</v>
      </c>
      <c r="C24" t="s">
        <v>63</v>
      </c>
      <c r="D24" s="1">
        <f>E24/SUM($E$2:$E$34)</f>
        <v>3.624138580337573E-3</v>
      </c>
      <c r="E24" s="2">
        <v>31198.35</v>
      </c>
    </row>
    <row r="25" spans="1:5" x14ac:dyDescent="0.25">
      <c r="A25" t="s">
        <v>64</v>
      </c>
      <c r="B25" t="s">
        <v>65</v>
      </c>
      <c r="C25" t="s">
        <v>52</v>
      </c>
      <c r="D25" s="1">
        <f>E25/SUM($E$2:$E$34)</f>
        <v>2.9447648445318445E-3</v>
      </c>
      <c r="E25" s="2">
        <v>25349.97</v>
      </c>
    </row>
    <row r="26" spans="1:5" x14ac:dyDescent="0.25">
      <c r="A26" t="s">
        <v>66</v>
      </c>
      <c r="B26" t="s">
        <v>67</v>
      </c>
      <c r="C26" t="s">
        <v>68</v>
      </c>
      <c r="D26" s="1">
        <f>E26/SUM($E$2:$E$34)</f>
        <v>2.1466304025474841E-3</v>
      </c>
      <c r="E26" s="2">
        <v>18479.240000000002</v>
      </c>
    </row>
    <row r="27" spans="1:5" x14ac:dyDescent="0.25">
      <c r="A27" t="s">
        <v>69</v>
      </c>
      <c r="B27" t="s">
        <v>70</v>
      </c>
      <c r="C27" t="s">
        <v>52</v>
      </c>
      <c r="D27" s="1">
        <f>E27/SUM($E$2:$E$34)</f>
        <v>1.6702435553646369E-3</v>
      </c>
      <c r="E27" s="2">
        <v>14378.27</v>
      </c>
    </row>
    <row r="28" spans="1:5" x14ac:dyDescent="0.25">
      <c r="A28" t="s">
        <v>71</v>
      </c>
      <c r="B28" t="s">
        <v>72</v>
      </c>
      <c r="C28" t="s">
        <v>20</v>
      </c>
      <c r="D28" s="1">
        <f>E28/SUM($E$2:$E$34)</f>
        <v>1.0396681737932893E-3</v>
      </c>
      <c r="E28" s="2">
        <v>8949.9699999999993</v>
      </c>
    </row>
    <row r="29" spans="1:5" x14ac:dyDescent="0.25">
      <c r="A29" t="s">
        <v>73</v>
      </c>
      <c r="B29" t="s">
        <v>74</v>
      </c>
      <c r="C29" t="s">
        <v>33</v>
      </c>
      <c r="D29" s="1">
        <f>E29/SUM($E$2:$E$34)</f>
        <v>3.4529180170549454E-4</v>
      </c>
      <c r="E29" s="2">
        <v>2972.44</v>
      </c>
    </row>
    <row r="30" spans="1:5" x14ac:dyDescent="0.25">
      <c r="A30" t="s">
        <v>75</v>
      </c>
      <c r="B30" t="s">
        <v>76</v>
      </c>
      <c r="C30" t="s">
        <v>57</v>
      </c>
      <c r="D30" s="1">
        <f>E30/SUM($E$2:$E$34)</f>
        <v>2.398888434639497E-4</v>
      </c>
      <c r="E30" s="2">
        <v>2065.08</v>
      </c>
    </row>
    <row r="31" spans="1:5" x14ac:dyDescent="0.25">
      <c r="A31" t="s">
        <v>77</v>
      </c>
      <c r="B31" t="s">
        <v>78</v>
      </c>
      <c r="C31" t="s">
        <v>79</v>
      </c>
      <c r="D31" s="1">
        <f>E31/SUM($E$2:$E$34)</f>
        <v>1.8178339500642379E-4</v>
      </c>
      <c r="E31" s="2">
        <v>1564.88</v>
      </c>
    </row>
    <row r="32" spans="1:5" x14ac:dyDescent="0.25">
      <c r="A32" t="s">
        <v>80</v>
      </c>
      <c r="B32" t="s">
        <v>81</v>
      </c>
      <c r="C32" t="s">
        <v>68</v>
      </c>
      <c r="D32" s="1">
        <f>E32/SUM($E$2:$E$34)</f>
        <v>1.7867367318473651E-4</v>
      </c>
      <c r="E32" s="2">
        <v>1538.11</v>
      </c>
    </row>
    <row r="33" spans="1:5" x14ac:dyDescent="0.25">
      <c r="A33" t="s">
        <v>82</v>
      </c>
      <c r="B33" t="s">
        <v>83</v>
      </c>
      <c r="C33" t="s">
        <v>84</v>
      </c>
      <c r="D33" s="1">
        <f>E33/SUM($E$2:$E$34)</f>
        <v>8.1390608680059052E-5</v>
      </c>
      <c r="E33">
        <v>700.65</v>
      </c>
    </row>
    <row r="34" spans="1:5" x14ac:dyDescent="0.25">
      <c r="A34" t="s">
        <v>85</v>
      </c>
      <c r="B34" t="s">
        <v>86</v>
      </c>
      <c r="C34" t="s">
        <v>84</v>
      </c>
      <c r="D34" s="1">
        <f>E34/SUM($E$2:$E$34)</f>
        <v>5.7164516565270915E-5</v>
      </c>
      <c r="E34">
        <v>492.1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Angad Singhania</dc:creator>
  <cp:lastModifiedBy>Angad Singhania</cp:lastModifiedBy>
  <dcterms:created xsi:type="dcterms:W3CDTF">2026-04-11T06:23:20Z</dcterms:created>
  <dcterms:modified xsi:type="dcterms:W3CDTF">2026-04-11T06:23:39Z</dcterms:modified>
</cp:coreProperties>
</file>